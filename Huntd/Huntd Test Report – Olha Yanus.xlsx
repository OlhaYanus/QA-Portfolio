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st Summary" sheetId="2" r:id="rId6"/>
    <sheet state="visible" name="Test Data"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tc={4563b9cc-8b9c-427a-ac03-8484c84fff1b}</author>
    <author>tc={59dfdc6a-b65f-45e6-b4c6-0694dff63880}</author>
    <author>tc={8fc04bad-0aba-451a-93ee-861cd17f28df}</author>
    <author>tc={ede67945-bd9d-47c3-9dd7-7ac6041f5dd8}</author>
    <author>tc={f3d9d795-30f2-4e6e-9222-51478014e17f}</author>
  </authors>
  <commentList>
    <comment authorId="0" xr:uid="{4563b9cc-8b9c-427a-ac03-8484c84fff1b}" ref="E4">
      <text>
        <t xml:space="preserve">[Threaded comment]
 Your version of Excel allows you to read this threaded comment; however, any edits to it will get removed if the file is opened in a newer version of Excel. Learn more: https://go.microsoft.com/fwlink/?linkid=870924
Comment:
	add total for web and mobile apps and add separate RTM for mobile
Reply:
	done
</t>
      </text>
    </comment>
    <comment authorId="1" xr:uid="{59dfdc6a-b65f-45e6-b4c6-0694dff63880}" ref="C4">
      <text>
        <t xml:space="preserve">[Threaded comment]
 Your version of Excel allows you to read this threaded comment; however, any edits to it will get removed if the file is opened in a newer version of Excel. Learn more: https://go.microsoft.com/fwlink/?linkid=870924
Comment:
	please check comments
Reply:
	done
</t>
      </text>
    </comment>
    <comment authorId="2" xr:uid="{8fc04bad-0aba-451a-93ee-861cd17f28df}" ref="D5">
      <text>
        <t xml:space="preserve">[Threaded comment]
 Your version of Excel allows you to read this threaded comment; however, any edits to it will get removed if the file is opened in a newer version of Excel. Learn more: https://go.microsoft.com/fwlink/?linkid=870924
Comment:
	1. Create separate projects for Web and Mobile 
2. Add all required test runs (check requirements) 
3. 	C162	Verify that a Sign In button is displayed. - use [] for button names 
4. 	C162	Verify that a Sign In button is displayed. - better to check if it works instead of checking if it is displayed 
5. 	C209	Ensure the recruiter can fill in their position. - instead of accept, fill check if user can register with such inputs in field
6.  Huntad APP - fix typo
7. C364	Verify that the Password field accepts input. - it is not cleat what you are testing here 
---
Check and fix the same issues everywhere
Reply:
	done
Reply:
	5. better to check if user can register or not
---
Check and fix the same issues everywhere
Reply:
	still not fixed. Please rephrase test cases https://tppr.me/ldEswk
Instead of "field accept something" or "prevents something", you should "The user can register" or "The user can not register".
Fix it everywhere (Sign up, Sign in)
Reply:
	DONE
Reply:
	5. still not fixed
You have a lot of TC like:
"Verify that the Email field accepts valid input."
you should rewrite all of them with next title structure
The user can register with "Email" of valid format
</t>
      </text>
    </comment>
    <comment authorId="3" xr:uid="{ede67945-bd9d-47c3-9dd7-7ac6041f5dd8}" ref="C5">
      <text>
        <t xml:space="preserve">[Threaded comment]
 Your version of Excel allows you to read this threaded comment; however, any edits to it will get removed if the file is opened in a newer version of Excel. Learn more: https://go.microsoft.com/fwlink/?linkid=870924
Comment:
	1. add all required columns 
2. Remove numbers in ticket summaries, e.g. 
1. Main page -&gt; Main page
3. Add tickets for all features with description and all activities (e.g. RTM, Test Plan)
4. Add link to the app to the 1st step to all bugs (except mobile bugs) 
5. HP-90 Company names are not clickable - follow WWW rule 
---
Check and fix the same issues everywhere
Reply:
	Done
Reply:
	1. not fixed, there should be 5 columns
Reply:
	done
Reply:
	still not fixed. I see only 3 columns on the board https://tppr.me/1ucEJq
Please add two more required columns
https://tppr.me/N5JLyH
Reply:
	DONE
Reply:
	fixed
</t>
      </text>
    </comment>
    <comment authorId="4" xr:uid="{f3d9d795-30f2-4e6e-9222-51478014e17f}" ref="D4">
      <text>
        <t xml:space="preserve">[Threaded comment]
 Your version of Excel allows you to read this threaded comment; however, any edits to it will get removed if the file is opened in a newer version of Excel. Learn more: https://go.microsoft.com/fwlink/?linkid=870924
Comment:
	approved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tc={18858c39-e936-4cef-b52a-aa6c874fa884}</author>
    <author>tc={f2acb63f-7ca0-4253-8400-affa51c87928}</author>
  </authors>
  <commentList>
    <comment authorId="0" xr:uid="{18858c39-e936-4cef-b52a-aa6c874fa884}" ref="K26">
      <text>
        <t xml:space="preserve">[Threaded comment]
 Your version of Excel allows you to read this threaded comment; however, any edits to it will get removed if the file is opened in a newer version of Excel. Learn more: https://go.microsoft.com/fwlink/?linkid=870924
Comment:
	you have to add feature names here (check Web table), user is logged-in is not a feature
Reply:
	done
</t>
      </text>
    </comment>
    <comment authorId="1" xr:uid="{f2acb63f-7ca0-4253-8400-affa51c87928}" ref="C13">
      <text>
        <t xml:space="preserve">[Threaded comment]
 Your version of Excel allows you to read this threaded comment; however, any edits to it will get removed if the file is opened in a newer version of Excel. Learn more: https://go.microsoft.com/fwlink/?linkid=870924
Comment:
	check numbers here, it is impossible that you have ~ 190 bugs
Reply:
	done
</t>
      </text>
    </comment>
  </commentList>
</comments>
</file>

<file path=xl/sharedStrings.xml><?xml version="1.0" encoding="utf-8"?>
<sst xmlns="http://schemas.openxmlformats.org/spreadsheetml/2006/main" count="82" uniqueCount="67">
  <si>
    <t>PROJECT BASIC INFORMATION</t>
  </si>
  <si>
    <t>Project Name</t>
  </si>
  <si>
    <t>Huntd</t>
  </si>
  <si>
    <t>Name of Product</t>
  </si>
  <si>
    <t>The best app for hiring web3 developers.</t>
  </si>
  <si>
    <t>Links</t>
  </si>
  <si>
    <t>Test plan</t>
  </si>
  <si>
    <t>Permission table</t>
  </si>
  <si>
    <t>RTM</t>
  </si>
  <si>
    <t>Jira</t>
  </si>
  <si>
    <t>TestRail WEB</t>
  </si>
  <si>
    <t>TestRail Mobile</t>
  </si>
  <si>
    <t>Product Description</t>
  </si>
  <si>
    <t>Huntd is a comprehensive job search and application tracking app designed to assist job seekers in their quest for employment. With its user-friendly interface and powerful features, this app is essential for individuals actively seeking job opportunities.</t>
  </si>
  <si>
    <t>Project Description</t>
  </si>
  <si>
    <t>Mission of the project</t>
  </si>
  <si>
    <t>Conduct testing to verify the quality of the web and mobile application.</t>
  </si>
  <si>
    <t>Ensure the application is released without defects.</t>
  </si>
  <si>
    <t>Project output product</t>
  </si>
  <si>
    <t>Test Summary report and Defects evaluation</t>
  </si>
  <si>
    <t>Project Type</t>
  </si>
  <si>
    <t>Testing</t>
  </si>
  <si>
    <t>Project Duration</t>
  </si>
  <si>
    <t>Start date</t>
  </si>
  <si>
    <t>End date</t>
  </si>
  <si>
    <t>Test Objectives</t>
  </si>
  <si>
    <t>The test objectives are the functionality of the web version and mobile version of the “Huntd”. The project focuses on the possibility to interact with the main objects of the website and app.</t>
  </si>
  <si>
    <t>The test objectives are to verify the functionality of both the web and mobile versions of the “Huntd” platform. The focus is on ensuring that users can interact correctly with the main objects, forms, and navigation elements on both platforms.</t>
  </si>
  <si>
    <t>For Website – Main Objectives:
1. Verify that all primary navigation elements (header, footer, menus) function correctly.
2. Verify that user authentication flows work properly: Sign Up, Sign In, Password Recovery.
3. Verify that profile creation and editing (Candidate / Recruiter) work and save correctly.
4. Verify that main sections (Jobs, Chats, Preferences, Notifications) are accessible and functional.
5. Verify that interactive objects (buttons, links, dropdowns, selectors) behave as expected.
6. Verify that form validation works correctly (email, password, salary, location, etc.).
7. Verify that search and filter functionality works as expected (jobs, candidates, recruiters).
8. Verify that external links (LinkedIn, GitHub, Behance, social media) open correctly.
9. Verify that responsive layout and UI elements adapt to different screen sizes.</t>
  </si>
  <si>
    <t>For Mobile App – Main Objectives:
1. Verify that the mobile app supports Candidate and Recruiter workflows correctly.
2. Verify that Sign Up / Sign In / Password Recovery flows work as expected on iOS and Android.
3. Verify that profile management (ROLE, EXPECTATIONS, EXPERIENCE for Candidate; My role, Company for Recruiter) works correctly.
4. Verify that Chats section displays all and archived conversations properly.
5. Verify that Notifications and Preferences can be configured and saved.
6. Verify that interactive UI elements (buttons, dropdowns, selectors, sliders) work as intended.
7. Verify that form inputs enforce validation rules (email format, password strength, numeric fields).
8. Verify that the profile type selection (Candidate / Recruiter) functions correctly after Sign Up.
9. Verify that location selector and salary input fields work and update correctly.
10. Verify that external links open correctly in the mobile environment.</t>
  </si>
  <si>
    <r>
      <rPr>
        <rFont val="Arial"/>
        <b val="0"/>
        <color rgb="FF000000"/>
        <sz val="12.0"/>
      </rPr>
      <t xml:space="preserve">Execution Rate for </t>
    </r>
    <r>
      <rPr>
        <rFont val="Arial"/>
        <b/>
        <color rgb="FF000000"/>
        <sz val="12.0"/>
      </rPr>
      <t>Huntd Web app</t>
    </r>
  </si>
  <si>
    <r>
      <rPr>
        <rFont val="Arial"/>
        <b val="0"/>
        <color rgb="FF000000"/>
        <sz val="12.0"/>
      </rPr>
      <t xml:space="preserve">Execution Rate for </t>
    </r>
    <r>
      <rPr>
        <rFont val="Arial"/>
        <b/>
        <color rgb="FF000000"/>
        <sz val="12.0"/>
      </rPr>
      <t>Huntd mobile app</t>
    </r>
  </si>
  <si>
    <t>Executed test cases</t>
  </si>
  <si>
    <t>Passed</t>
  </si>
  <si>
    <t>Failed</t>
  </si>
  <si>
    <t>Blocked</t>
  </si>
  <si>
    <r>
      <rPr>
        <rFont val="Arial"/>
        <b/>
        <color rgb="FF000000"/>
        <sz val="12.0"/>
      </rPr>
      <t xml:space="preserve">Huntd Web </t>
    </r>
    <r>
      <rPr>
        <rFont val="Arial"/>
        <b val="0"/>
        <color rgb="FF000000"/>
        <sz val="12.0"/>
      </rPr>
      <t>bugs by Priority</t>
    </r>
  </si>
  <si>
    <t>Critical</t>
  </si>
  <si>
    <t>High</t>
  </si>
  <si>
    <t>Medium</t>
  </si>
  <si>
    <t>Low</t>
  </si>
  <si>
    <t>Web features</t>
  </si>
  <si>
    <t>Mobile features</t>
  </si>
  <si>
    <t>No.</t>
  </si>
  <si>
    <t>Features</t>
  </si>
  <si>
    <t>Tests</t>
  </si>
  <si>
    <t>Main page</t>
  </si>
  <si>
    <t>Main page (Sign In screen)</t>
  </si>
  <si>
    <t>Candidate list</t>
  </si>
  <si>
    <t>Sign Up</t>
  </si>
  <si>
    <t xml:space="preserve">Sign Up </t>
  </si>
  <si>
    <t>Profile</t>
  </si>
  <si>
    <t>Sign In</t>
  </si>
  <si>
    <t>Chats</t>
  </si>
  <si>
    <t xml:space="preserve">Profile </t>
  </si>
  <si>
    <t>Footer</t>
  </si>
  <si>
    <t xml:space="preserve">Web3 companies and Jobs </t>
  </si>
  <si>
    <t>Latest (Coverage)</t>
  </si>
  <si>
    <t>Role</t>
  </si>
  <si>
    <t>Email</t>
  </si>
  <si>
    <t>Password</t>
  </si>
  <si>
    <t>recruter</t>
  </si>
  <si>
    <t>companyt@gmail.com</t>
  </si>
  <si>
    <t>fAC4eDQ2cpHfvf$</t>
  </si>
  <si>
    <t>engineer</t>
  </si>
  <si>
    <t>engineertest@gmail.com</t>
  </si>
  <si>
    <t>AV6XMDd7C$UJLxU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</si>
</sst>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3">
    <font>
      <sz val="10.0"/>
      <color rgb="FF000000"/>
      <name val="Arial"/>
      <scheme val="minor"/>
    </font>
    <font>
      <b/>
      <color theme="1"/>
      <name val="Arial"/>
      <scheme val="minor"/>
    </font>
    <font>
      <b/>
      <sz val="11.0"/>
      <color theme="1"/>
      <name val="Arial"/>
      <scheme val="minor"/>
    </font>
    <font>
      <u/>
      <sz val="11.0"/>
      <color rgb="FF0000FF"/>
    </font>
    <font/>
    <font>
      <sz val="11.0"/>
      <color theme="1"/>
      <name val="Arial"/>
      <scheme val="minor"/>
    </font>
    <font>
      <u/>
      <sz val="11.0"/>
      <color rgb="FF0000FF"/>
    </font>
    <font>
      <sz val="11.0"/>
      <color theme="1"/>
      <name val="&quot;Google Sans&quot;"/>
    </font>
    <font>
      <sz val="11.0"/>
      <color rgb="FF000000"/>
      <name val="Arial"/>
    </font>
    <font>
      <sz val="8.0"/>
      <color theme="1"/>
      <name val="&quot;Google Sans&quot;"/>
    </font>
    <font>
      <color theme="1"/>
      <name val="Arial"/>
      <scheme val="minor"/>
    </font>
    <font>
      <b/>
      <sz val="14.0"/>
      <color theme="1"/>
      <name val="Arial"/>
      <scheme val="minor"/>
    </font>
    <font>
      <b/>
      <sz val="12.0"/>
      <color rgb="FF000000"/>
      <name val="Arial"/>
      <scheme val="minor"/>
    </font>
  </fonts>
  <fills count="11">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B6D7A8"/>
        <bgColor rgb="FFB6D7A8"/>
      </patternFill>
    </fill>
    <fill>
      <patternFill patternType="solid">
        <fgColor rgb="FFEA9999"/>
        <bgColor rgb="FFEA9999"/>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s>
  <borders count="3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top style="thin">
        <color rgb="FF000000"/>
      </top>
      <bottom style="thin">
        <color rgb="FF000000"/>
      </bottom>
    </border>
    <border>
      <left style="double">
        <color rgb="FF000000"/>
      </left>
      <right style="double">
        <color rgb="FF000000"/>
      </right>
      <top style="double">
        <color rgb="FF000000"/>
      </top>
      <bottom style="thin">
        <color rgb="FF000000"/>
      </bottom>
    </border>
    <border>
      <left style="double">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double">
        <color rgb="FF000000"/>
      </bottom>
    </border>
    <border>
      <left style="thick">
        <color rgb="FF000000"/>
      </left>
    </border>
    <border>
      <left style="thick">
        <color rgb="FF000000"/>
      </left>
      <right style="thin">
        <color rgb="FF000000"/>
      </right>
      <top style="thin">
        <color rgb="FF000000"/>
      </top>
      <bottom style="thin">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vertical="center"/>
    </xf>
    <xf borderId="2" fillId="0" fontId="3" numFmtId="0" xfId="0" applyAlignment="1" applyBorder="1" applyFont="1">
      <alignment readingOrder="0"/>
    </xf>
    <xf borderId="3" fillId="0" fontId="4" numFmtId="0" xfId="0" applyBorder="1" applyFont="1"/>
    <xf borderId="4" fillId="0" fontId="4" numFmtId="0" xfId="0" applyBorder="1" applyFont="1"/>
    <xf borderId="5" fillId="2" fontId="2" numFmtId="0" xfId="0" applyAlignment="1" applyBorder="1" applyFont="1">
      <alignment horizontal="center" readingOrder="0" vertical="center"/>
    </xf>
    <xf borderId="2" fillId="0" fontId="5" numFmtId="0" xfId="0" applyAlignment="1" applyBorder="1" applyFont="1">
      <alignment readingOrder="0"/>
    </xf>
    <xf borderId="6" fillId="0" fontId="4" numFmtId="0" xfId="0" applyBorder="1" applyFont="1"/>
    <xf borderId="5" fillId="3" fontId="5" numFmtId="0" xfId="0" applyAlignment="1" applyBorder="1" applyFill="1" applyFont="1">
      <alignment horizontal="center" readingOrder="0" shrinkToFit="0" vertical="center" wrapText="0"/>
    </xf>
    <xf borderId="1" fillId="0" fontId="6" numFmtId="0" xfId="0" applyAlignment="1" applyBorder="1" applyFont="1">
      <alignment readingOrder="0"/>
    </xf>
    <xf borderId="7" fillId="0" fontId="4" numFmtId="0" xfId="0" applyBorder="1" applyFont="1"/>
    <xf borderId="2" fillId="0" fontId="5" numFmtId="0" xfId="0" applyAlignment="1" applyBorder="1" applyFont="1">
      <alignment readingOrder="0" shrinkToFit="0" vertical="top" wrapText="1"/>
    </xf>
    <xf borderId="0" fillId="0" fontId="7" numFmtId="0" xfId="0" applyAlignment="1" applyFont="1">
      <alignment horizontal="left" readingOrder="0" shrinkToFit="0" wrapText="1"/>
    </xf>
    <xf borderId="5" fillId="3" fontId="5" numFmtId="0" xfId="0" applyAlignment="1" applyBorder="1" applyFont="1">
      <alignment horizontal="center" readingOrder="0" shrinkToFit="0" vertical="center" wrapText="1"/>
    </xf>
    <xf borderId="2" fillId="0" fontId="5" numFmtId="0" xfId="0" applyAlignment="1" applyBorder="1" applyFont="1">
      <alignment readingOrder="0" shrinkToFit="0" wrapText="1"/>
    </xf>
    <xf borderId="2" fillId="4" fontId="8" numFmtId="0" xfId="0" applyAlignment="1" applyBorder="1" applyFill="1" applyFont="1">
      <alignment horizontal="left" readingOrder="0"/>
    </xf>
    <xf borderId="1" fillId="3" fontId="5" numFmtId="0" xfId="0" applyAlignment="1" applyBorder="1" applyFont="1">
      <alignment horizontal="center" readingOrder="0" vertical="center"/>
    </xf>
    <xf borderId="1" fillId="0" fontId="5" numFmtId="164" xfId="0" applyAlignment="1" applyBorder="1" applyFont="1" applyNumberFormat="1">
      <alignment readingOrder="0"/>
    </xf>
    <xf borderId="8" fillId="0" fontId="5" numFmtId="0" xfId="0" applyAlignment="1" applyBorder="1" applyFont="1">
      <alignment readingOrder="0" shrinkToFit="0" wrapText="1"/>
    </xf>
    <xf borderId="9" fillId="0" fontId="4" numFmtId="0" xfId="0" applyBorder="1" applyFont="1"/>
    <xf borderId="10" fillId="0" fontId="4" numFmtId="0" xfId="0" applyBorder="1" applyFont="1"/>
    <xf borderId="11" fillId="0" fontId="5" numFmtId="0" xfId="0" applyAlignment="1" applyBorder="1" applyFont="1">
      <alignment readingOrder="0" shrinkToFit="0" wrapText="1"/>
    </xf>
    <xf borderId="12" fillId="0" fontId="4" numFmtId="0" xfId="0" applyBorder="1" applyFont="1"/>
    <xf borderId="0" fillId="0" fontId="7" numFmtId="0" xfId="0" applyAlignment="1" applyFont="1">
      <alignment horizontal="left" shrinkToFit="0" wrapText="1"/>
    </xf>
    <xf borderId="13" fillId="0" fontId="5" numFmtId="0" xfId="0" applyAlignment="1" applyBorder="1" applyFont="1">
      <alignment readingOrder="0" shrinkToFit="0" wrapText="1"/>
    </xf>
    <xf borderId="14" fillId="0" fontId="4" numFmtId="0" xfId="0" applyBorder="1" applyFont="1"/>
    <xf borderId="15" fillId="0" fontId="4" numFmtId="0" xfId="0" applyBorder="1" applyFont="1"/>
    <xf borderId="0" fillId="0" fontId="9" numFmtId="0" xfId="0" applyAlignment="1" applyFont="1">
      <alignment horizontal="left" readingOrder="0" shrinkToFit="0" wrapText="1"/>
    </xf>
    <xf borderId="0" fillId="0" fontId="10" numFmtId="0" xfId="0" applyAlignment="1" applyFont="1">
      <alignment readingOrder="0"/>
    </xf>
    <xf borderId="0" fillId="0" fontId="11" numFmtId="0" xfId="0" applyAlignment="1" applyFont="1">
      <alignment readingOrder="0"/>
    </xf>
    <xf borderId="0" fillId="0" fontId="11" numFmtId="0" xfId="0" applyFont="1"/>
    <xf borderId="2" fillId="5" fontId="12" numFmtId="0" xfId="0" applyAlignment="1" applyBorder="1" applyFill="1" applyFont="1">
      <alignment horizontal="center" readingOrder="0" vertical="center"/>
    </xf>
    <xf borderId="16" fillId="5" fontId="12" numFmtId="0" xfId="0" applyAlignment="1" applyBorder="1" applyFont="1">
      <alignment horizontal="center" readingOrder="0" vertical="center"/>
    </xf>
    <xf borderId="2" fillId="0" fontId="10" numFmtId="0" xfId="0" applyAlignment="1" applyBorder="1" applyFont="1">
      <alignment readingOrder="0"/>
    </xf>
    <xf borderId="17" fillId="0" fontId="10" numFmtId="0" xfId="0" applyAlignment="1" applyBorder="1" applyFont="1">
      <alignment readingOrder="0"/>
    </xf>
    <xf borderId="4" fillId="0" fontId="10" numFmtId="9" xfId="0" applyAlignment="1" applyBorder="1" applyFont="1" applyNumberFormat="1">
      <alignment readingOrder="0"/>
    </xf>
    <xf borderId="16" fillId="0" fontId="10" numFmtId="0" xfId="0" applyAlignment="1" applyBorder="1" applyFont="1">
      <alignment readingOrder="0"/>
    </xf>
    <xf borderId="2" fillId="6" fontId="10" numFmtId="0" xfId="0" applyAlignment="1" applyBorder="1" applyFill="1" applyFont="1">
      <alignment readingOrder="0"/>
    </xf>
    <xf borderId="18" fillId="6" fontId="10" numFmtId="0" xfId="0" applyAlignment="1" applyBorder="1" applyFont="1">
      <alignment horizontal="right" readingOrder="0"/>
    </xf>
    <xf borderId="4" fillId="6" fontId="10" numFmtId="9" xfId="0" applyAlignment="1" applyBorder="1" applyFont="1" applyNumberFormat="1">
      <alignment horizontal="right" readingOrder="0"/>
    </xf>
    <xf borderId="16" fillId="6" fontId="10" numFmtId="0" xfId="0" applyAlignment="1" applyBorder="1" applyFont="1">
      <alignment readingOrder="0"/>
    </xf>
    <xf borderId="2" fillId="7" fontId="10" numFmtId="0" xfId="0" applyAlignment="1" applyBorder="1" applyFill="1" applyFont="1">
      <alignment readingOrder="0"/>
    </xf>
    <xf borderId="19" fillId="7" fontId="10" numFmtId="0" xfId="0" applyAlignment="1" applyBorder="1" applyFont="1">
      <alignment horizontal="right" readingOrder="0"/>
    </xf>
    <xf borderId="4" fillId="7" fontId="10" numFmtId="9" xfId="0" applyAlignment="1" applyBorder="1" applyFont="1" applyNumberFormat="1">
      <alignment horizontal="right" readingOrder="0"/>
    </xf>
    <xf borderId="16" fillId="7" fontId="10" numFmtId="0" xfId="0" applyAlignment="1" applyBorder="1" applyFont="1">
      <alignment readingOrder="0"/>
    </xf>
    <xf borderId="2" fillId="8" fontId="10" numFmtId="0" xfId="0" applyAlignment="1" applyBorder="1" applyFill="1" applyFont="1">
      <alignment readingOrder="0"/>
    </xf>
    <xf borderId="19" fillId="9" fontId="10" numFmtId="0" xfId="0" applyAlignment="1" applyBorder="1" applyFill="1" applyFont="1">
      <alignment horizontal="right" readingOrder="0"/>
    </xf>
    <xf borderId="4" fillId="10" fontId="10" numFmtId="9" xfId="0" applyAlignment="1" applyBorder="1" applyFill="1" applyFont="1" applyNumberFormat="1">
      <alignment horizontal="right" readingOrder="0"/>
    </xf>
    <xf borderId="20" fillId="0" fontId="10" numFmtId="0" xfId="0" applyBorder="1" applyFont="1"/>
    <xf borderId="4" fillId="5" fontId="12" numFmtId="0" xfId="0" applyAlignment="1" applyBorder="1" applyFont="1">
      <alignment horizontal="center" readingOrder="0" vertical="center"/>
    </xf>
    <xf borderId="18" fillId="0" fontId="10" numFmtId="0" xfId="0" applyAlignment="1" applyBorder="1" applyFont="1">
      <alignment horizontal="right" readingOrder="0"/>
    </xf>
    <xf borderId="19" fillId="0" fontId="10" numFmtId="0" xfId="0" applyAlignment="1" applyBorder="1" applyFont="1">
      <alignment readingOrder="0"/>
    </xf>
    <xf borderId="0" fillId="0" fontId="11" numFmtId="0" xfId="0" applyAlignment="1" applyFont="1">
      <alignment horizontal="center" readingOrder="0"/>
    </xf>
    <xf borderId="20" fillId="0" fontId="11" numFmtId="0" xfId="0" applyAlignment="1" applyBorder="1" applyFont="1">
      <alignment horizontal="center" readingOrder="0" vertical="center"/>
    </xf>
    <xf borderId="1" fillId="2" fontId="1" numFmtId="0" xfId="0" applyAlignment="1" applyBorder="1" applyFont="1">
      <alignment horizontal="center" readingOrder="0"/>
    </xf>
    <xf borderId="5" fillId="2" fontId="1" numFmtId="0" xfId="0" applyAlignment="1" applyBorder="1" applyFont="1">
      <alignment horizontal="center" readingOrder="0"/>
    </xf>
    <xf borderId="5" fillId="2" fontId="1" numFmtId="0" xfId="0" applyAlignment="1" applyBorder="1" applyFont="1">
      <alignment horizontal="center"/>
    </xf>
    <xf borderId="8" fillId="2" fontId="1" numFmtId="0" xfId="0" applyAlignment="1" applyBorder="1" applyFont="1">
      <alignment horizontal="center"/>
    </xf>
    <xf borderId="8" fillId="2" fontId="1" numFmtId="0" xfId="0" applyAlignment="1" applyBorder="1" applyFont="1">
      <alignment horizontal="center" readingOrder="0"/>
    </xf>
    <xf borderId="21" fillId="2" fontId="1" numFmtId="0" xfId="0" applyAlignment="1" applyBorder="1" applyFont="1">
      <alignment horizontal="center" readingOrder="0"/>
    </xf>
    <xf borderId="22" fillId="0" fontId="10" numFmtId="0" xfId="0" applyAlignment="1" applyBorder="1" applyFont="1">
      <alignment readingOrder="0"/>
    </xf>
    <xf borderId="23" fillId="0" fontId="10" numFmtId="0" xfId="0" applyAlignment="1" applyBorder="1" applyFont="1">
      <alignment readingOrder="0"/>
    </xf>
    <xf borderId="24" fillId="0" fontId="10" numFmtId="0" xfId="0" applyAlignment="1" applyBorder="1" applyFont="1">
      <alignment readingOrder="0"/>
    </xf>
    <xf borderId="3" fillId="6" fontId="10" numFmtId="9" xfId="0" applyBorder="1" applyFont="1" applyNumberFormat="1"/>
    <xf borderId="4" fillId="6" fontId="10" numFmtId="9" xfId="0" applyBorder="1" applyFont="1" applyNumberFormat="1"/>
    <xf borderId="25" fillId="0" fontId="10" numFmtId="0" xfId="0" applyAlignment="1" applyBorder="1" applyFont="1">
      <alignment readingOrder="0"/>
    </xf>
    <xf borderId="1" fillId="0" fontId="10" numFmtId="0" xfId="0" applyAlignment="1" applyBorder="1" applyFont="1">
      <alignment readingOrder="0"/>
    </xf>
    <xf borderId="26" fillId="0" fontId="10" numFmtId="0" xfId="0" applyAlignment="1" applyBorder="1" applyFont="1">
      <alignment readingOrder="0"/>
    </xf>
    <xf borderId="18" fillId="0" fontId="10" numFmtId="0" xfId="0" applyAlignment="1" applyBorder="1" applyFont="1">
      <alignment readingOrder="0"/>
    </xf>
    <xf borderId="25" fillId="0" fontId="10" numFmtId="0" xfId="0" applyBorder="1" applyFont="1"/>
    <xf borderId="26" fillId="0" fontId="10" numFmtId="0" xfId="0" applyBorder="1" applyFont="1"/>
    <xf borderId="27" fillId="0" fontId="10" numFmtId="0" xfId="0" applyAlignment="1" applyBorder="1" applyFont="1">
      <alignment readingOrder="0"/>
    </xf>
    <xf borderId="28" fillId="0" fontId="10" numFmtId="0" xfId="0" applyAlignment="1" applyBorder="1" applyFont="1">
      <alignment readingOrder="0"/>
    </xf>
    <xf borderId="29" fillId="0" fontId="10" numFmtId="0" xfId="0" applyAlignment="1" applyBorder="1" applyFont="1">
      <alignment readingOrder="0"/>
    </xf>
    <xf borderId="27" fillId="0" fontId="10" numFmtId="0" xfId="0" applyBorder="1" applyFont="1"/>
    <xf borderId="19" fillId="0" fontId="10" numFmtId="0" xfId="0" applyBorder="1" applyFont="1"/>
    <xf borderId="7" fillId="0" fontId="1" numFmtId="0" xfId="0" applyBorder="1" applyFont="1"/>
    <xf borderId="1" fillId="6" fontId="1" numFmtId="9" xfId="0" applyBorder="1" applyFont="1" applyNumberFormat="1"/>
    <xf borderId="7" fillId="0" fontId="1" numFmtId="0" xfId="0" applyBorder="1" applyFont="1"/>
    <xf borderId="1" fillId="0" fontId="1" numFmtId="9" xfId="0" applyAlignment="1" applyBorder="1" applyFont="1" applyNumberFormat="1">
      <alignment readingOrder="0"/>
    </xf>
    <xf borderId="21" fillId="0" fontId="10" numFmtId="0" xfId="0" applyAlignment="1" applyBorder="1" applyFont="1">
      <alignment readingOrder="0"/>
    </xf>
  </cellXfs>
  <cellStyles count="1">
    <cellStyle xfId="0" name="Normal" builtinId="0"/>
  </cellStyles>
  <dxfs count="10">
    <dxf>
      <font/>
      <fill>
        <patternFill patternType="solid">
          <fgColor rgb="FF93C47D"/>
          <bgColor rgb="FF93C47D"/>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CC0000"/>
          <bgColor rgb="FFCC0000"/>
        </patternFill>
      </fill>
      <border/>
    </dxf>
    <dxf>
      <font/>
      <fill>
        <patternFill patternType="solid">
          <fgColor rgb="FFFCE8B2"/>
          <bgColor rgb="FFFCE8B2"/>
        </patternFill>
      </fill>
      <border/>
    </dxf>
    <dxf>
      <font/>
      <fill>
        <patternFill patternType="solid">
          <fgColor rgb="FFCFE2F3"/>
          <bgColor rgb="FFCFE2F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93C47D"/>
              </a:solidFill>
            </c:spPr>
          </c:dPt>
          <c:dPt>
            <c:idx val="1"/>
            <c:spPr>
              <a:solidFill>
                <a:srgbClr val="EA4335"/>
              </a:solidFill>
            </c:spPr>
          </c:dPt>
          <c:dPt>
            <c:idx val="2"/>
            <c:spPr>
              <a:solidFill>
                <a:srgbClr val="999999"/>
              </a:solidFill>
            </c:spPr>
          </c:dPt>
          <c:dLbls>
            <c:showLegendKey val="0"/>
            <c:showVal val="0"/>
            <c:showCatName val="0"/>
            <c:showSerName val="0"/>
            <c:showPercent val="0"/>
            <c:showBubbleSize val="0"/>
            <c:showLeaderLines val="1"/>
          </c:dLbls>
          <c:val>
            <c:numRef>
              <c:f>'Test Summary'!$K$3:$K$5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D7E6B"/>
              </a:solidFill>
            </c:spPr>
          </c:dPt>
          <c:dPt>
            <c:idx val="1"/>
            <c:spPr>
              <a:solidFill>
                <a:srgbClr val="FFF2CC"/>
              </a:solidFill>
            </c:spPr>
          </c:dPt>
          <c:dPt>
            <c:idx val="2"/>
            <c:spPr>
              <a:solidFill>
                <a:srgbClr val="C9DAF8"/>
              </a:solidFill>
            </c:spPr>
          </c:dPt>
          <c:dPt>
            <c:idx val="3"/>
            <c:spPr>
              <a:solidFill>
                <a:srgbClr val="D9D9D9"/>
              </a:solidFill>
            </c:spPr>
          </c:dPt>
          <c:dLbls>
            <c:showLegendKey val="0"/>
            <c:showVal val="0"/>
            <c:showCatName val="0"/>
            <c:showSerName val="0"/>
            <c:showPercent val="0"/>
            <c:showBubbleSize val="0"/>
            <c:showLeaderLines val="1"/>
          </c:dLbls>
          <c:cat>
            <c:strRef>
              <c:f>'Test Summary'!$C$13:$C$16</c:f>
            </c:strRef>
          </c:cat>
          <c:val>
            <c:numRef>
              <c:f>'Test Summary'!$C$13:$C$16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93C47D"/>
              </a:solidFill>
            </c:spPr>
          </c:dPt>
          <c:dPt>
            <c:idx val="1"/>
            <c:spPr>
              <a:solidFill>
                <a:srgbClr val="EA4335"/>
              </a:solidFill>
            </c:spPr>
          </c:dPt>
          <c:dPt>
            <c:idx val="2"/>
            <c:spPr>
              <a:solidFill>
                <a:srgbClr val="999999"/>
              </a:solidFill>
            </c:spPr>
          </c:dPt>
          <c:dLbls>
            <c:showLegendKey val="0"/>
            <c:showVal val="0"/>
            <c:showCatName val="0"/>
            <c:showSerName val="0"/>
            <c:showPercent val="0"/>
            <c:showBubbleSize val="0"/>
            <c:showLeaderLines val="1"/>
          </c:dLbls>
          <c:cat>
            <c:strRef>
              <c:f>'Test Summary'!$A$3:$A$5</c:f>
            </c:strRef>
          </c:cat>
          <c:val>
            <c:numRef>
              <c:f>'Test Summary'!$B$3:$B$5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609600</xdr:colOff>
      <xdr:row>0</xdr:row>
      <xdr:rowOff>9525</xdr:rowOff>
    </xdr:from>
    <xdr:ext cx="3286125" cy="2238375"/>
    <xdr:graphicFrame>
      <xdr:nvGraphicFramePr>
        <xdr:cNvPr id="1" name="Chart 1"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647700</xdr:colOff>
      <xdr:row>9</xdr:row>
      <xdr:rowOff>171450</xdr:rowOff>
    </xdr:from>
    <xdr:ext cx="3228975" cy="2038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647700</xdr:colOff>
      <xdr:row>0</xdr:row>
      <xdr:rowOff>0</xdr:rowOff>
    </xdr:from>
    <xdr:ext cx="3228975" cy="2038350"/>
    <xdr:graphicFrame>
      <xdr:nvGraphicFramePr>
        <xdr:cNvPr id="3" name="Chart 3" title="Діагра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Вікторія Волкова" id="{7fbffbf9-c02f-4f56-8216-9814ad72836d}" providerId="google-sheets"/>
  <x18tc:person displayName="Ivan Shvorak" id="{b5213afe-9c5a-418b-b2bb-61e3dc1a6f58}" providerId="google-sheets"/>
  <x18tc:person displayName="Olha Yanus" id="{1f85738b-9e99-454a-818f-d2032b06d2fc}" providerId="google-sheets"/>
  <x18tc:person displayName="Viktor Barinov" id="{534d38e1-3563-405d-bfee-6e3c6b4fae0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11-24T17:08:11.00" personId="{b5213afe-9c5a-418b-b2bb-61e3dc1a6f58}" id="{4563b9cc-8b9c-427a-ac03-8484c84fff1b}" done="1">
    <x18tc:text xml:space="preserve">add total for web and mobile apps and add separate RTM for mobile</x18tc:text>
  </x18tc:threadedComment>
  <x18tc:threadedComment ref="E4" dT="2025-11-25T14:37:52.00" personId="{1f85738b-9e99-454a-818f-d2032b06d2fc}" id="{7b92dd71-2299-4735-9b88-48b9c1df8438}" parentId="{4563b9cc-8b9c-427a-ac03-8484c84fff1b}">
    <x18tc:text xml:space="preserve">done</x18tc:text>
  </x18tc:threadedComment>
  <x18tc:threadedComment ref="D4" dT="2025-11-24T17:07:35.00" personId="{b5213afe-9c5a-418b-b2bb-61e3dc1a6f58}" id="{f3d9d795-30f2-4e6e-9222-51478014e17f}" done="1">
    <x18tc:text xml:space="preserve">approved</x18tc:text>
  </x18tc:threadedComment>
  <x18tc:threadedComment ref="C4" dT="2025-11-24T17:07:13.00" personId="{b5213afe-9c5a-418b-b2bb-61e3dc1a6f58}" id="{59dfdc6a-b65f-45e6-b4c6-0694dff63880}" done="1">
    <x18tc:text xml:space="preserve">please check comments</x18tc:text>
  </x18tc:threadedComment>
  <x18tc:threadedComment ref="C4" dT="2025-11-25T14:18:24.00" personId="{1f85738b-9e99-454a-818f-d2032b06d2fc}" id="{2a52ac25-9c28-4604-8125-8fe2b965bc3d}" parentId="{59dfdc6a-b65f-45e6-b4c6-0694dff63880}">
    <x18tc:text xml:space="preserve">done</x18tc:text>
  </x18tc:threadedComment>
  <x18tc:threadedComment ref="D5" dT="2025-11-24T17:23:10.00" personId="{b5213afe-9c5a-418b-b2bb-61e3dc1a6f58}" id="{8fc04bad-0aba-451a-93ee-861cd17f28df}" done="1">
    <x18tc:text xml:space="preserve">1. Create separate projects for Web and Mobile 
2. Add all required test runs (check requirements) 
3. 	C162	Verify that a Sign In button is displayed. - use [] for button names 
4. 	C162	Verify that a Sign In button is displayed. - better to check if it works instead of checking if it is displayed 
5. 	C209	Ensure the recruiter can fill in their position. - instead of accept, fill check if user can register with such inputs in field
6.  Huntad APP - fix typo
7. C364	Verify that the Password field accepts input. - it is not cleat what you are testing here 
---
Check and fix the same issues everywhere</x18tc:text>
  </x18tc:threadedComment>
  <x18tc:threadedComment ref="D5" dT="2025-11-27T17:53:59.00" personId="{1f85738b-9e99-454a-818f-d2032b06d2fc}" id="{15583544-3763-40a3-a633-45473369d596}" parentId="{8fc04bad-0aba-451a-93ee-861cd17f28df}">
    <x18tc:text xml:space="preserve">done</x18tc:text>
  </x18tc:threadedComment>
  <x18tc:threadedComment ref="D5" dT="2025-11-28T17:26:34.00" personId="{b5213afe-9c5a-418b-b2bb-61e3dc1a6f58}" id="{125ececc-3727-4f60-8c7e-b3229aeadcf1}" parentId="{8fc04bad-0aba-451a-93ee-861cd17f28df}">
    <x18tc:text xml:space="preserve">5. better to check if user can register or not
---
Check and fix the same issues everywhere</x18tc:text>
  </x18tc:threadedComment>
  <x18tc:threadedComment ref="D5" dT="2025-12-02T06:24:38.00" personId="{7fbffbf9-c02f-4f56-8216-9814ad72836d}" id="{67b73df7-56af-4c4d-80c8-f8f349b11a0c}" parentId="{8fc04bad-0aba-451a-93ee-861cd17f28df}">
    <x18tc:text xml:space="preserve">still not fixed. Please rephrase test cases https://tppr.me/ldEswk
Instead of "field accept something" or "prevents something", you should "The user can register" or "The user can not register".
Fix it everywhere (Sign up, Sign in)</x18tc:text>
    <x18tc:extLst>
      <ext uri="{F7C98A9C-CBB3-438F-8F68-D28B6AF4A901}">
        <xltc2:checksum/>
        <xltc2:hyperlink startIndex="44" length="22" url="https://tppr.me/ldEswk"/>
      </ext>
    </x18tc:extLst>
  </x18tc:threadedComment>
  <x18tc:threadedComment ref="D5" dT="2025-12-02T10:15:53.00" personId="{1f85738b-9e99-454a-818f-d2032b06d2fc}" id="{519e8251-6afc-40f4-b936-0bd31dcd263a}" parentId="{8fc04bad-0aba-451a-93ee-861cd17f28df}">
    <x18tc:text xml:space="preserve">DONE</x18tc:text>
  </x18tc:threadedComment>
  <x18tc:threadedComment ref="D5" dT="2025-12-02T21:31:59.00" personId="{534d38e1-3563-405d-bfee-6e3c6b4fae06}" id="{20a39c9b-b71c-422d-be5e-6c4709d317a0}" parentId="{8fc04bad-0aba-451a-93ee-861cd17f28df}">
    <x18tc:text xml:space="preserve">5. still not fixed
You have a lot of TC like:
"Verify that the Email field accepts valid input."
you should rewrite all of them with next title structure
The user can register with "Email" of valid format</x18tc:text>
  </x18tc:threadedComment>
  <x18tc:threadedComment ref="C5" dT="2025-11-24T17:19:08.00" personId="{b5213afe-9c5a-418b-b2bb-61e3dc1a6f58}" id="{ede67945-bd9d-47c3-9dd7-7ac6041f5dd8}" done="1">
    <x18tc:text xml:space="preserve">1. add all required columns 
2. Remove numbers in ticket summaries, e.g. 
1. Main page -&gt; Main page
3. Add tickets for all features with description and all activities (e.g. RTM, Test Plan)
4. Add link to the app to the 1st step to all bugs (except mobile bugs) 
5. HP-90 Company names are not clickable - follow WWW rule 
---
Check and fix the same issues everywhere</x18tc:text>
  </x18tc:threadedComment>
  <x18tc:threadedComment ref="C5" dT="2025-11-26T14:34:25.00" personId="{1f85738b-9e99-454a-818f-d2032b06d2fc}" id="{ae5e2afa-4869-4325-a509-6f0a1adbf8ab}" parentId="{ede67945-bd9d-47c3-9dd7-7ac6041f5dd8}">
    <x18tc:text xml:space="preserve">Done</x18tc:text>
  </x18tc:threadedComment>
  <x18tc:threadedComment ref="C5" dT="2025-11-28T17:24:19.00" personId="{b5213afe-9c5a-418b-b2bb-61e3dc1a6f58}" id="{fa5bd1b0-c9a5-4896-8811-e5f1aa9da758}" parentId="{ede67945-bd9d-47c3-9dd7-7ac6041f5dd8}">
    <x18tc:text xml:space="preserve">1. not fixed, there should be 5 columns</x18tc:text>
  </x18tc:threadedComment>
  <x18tc:threadedComment ref="C5" dT="2025-12-01T08:59:36.00" personId="{1f85738b-9e99-454a-818f-d2032b06d2fc}" id="{0919cc6b-fb9b-443b-ae02-2bdae2f7e781}" parentId="{ede67945-bd9d-47c3-9dd7-7ac6041f5dd8}">
    <x18tc:text xml:space="preserve">done</x18tc:text>
  </x18tc:threadedComment>
  <x18tc:threadedComment ref="C5" dT="2025-12-02T06:21:19.00" personId="{7fbffbf9-c02f-4f56-8216-9814ad72836d}" id="{f3f0b117-8d9f-4385-a85e-2a94a6286d1b}" parentId="{ede67945-bd9d-47c3-9dd7-7ac6041f5dd8}">
    <x18tc:text xml:space="preserve">still not fixed. I see only 3 columns on the board https://tppr.me/1ucEJq
Please add two more required columns
https://tppr.me/N5JLyH</x18tc:text>
    <x18tc:extLst>
      <ext uri="{F7C98A9C-CBB3-438F-8F68-D28B6AF4A901}">
        <xltc2:checksum/>
        <xltc2:hyperlink startIndex="51" length="22" url="https://tppr.me/1ucEJq"/>
        <xltc2:hyperlink startIndex="111" length="22" url="https://tppr.me/N5JLyH"/>
      </ext>
    </x18tc:extLst>
  </x18tc:threadedComment>
  <x18tc:threadedComment ref="C5" dT="2025-12-02T09:45:16.00" personId="{1f85738b-9e99-454a-818f-d2032b06d2fc}" id="{cd868f01-ae23-4698-ba1b-0c93ab3ffe21}" parentId="{ede67945-bd9d-47c3-9dd7-7ac6041f5dd8}">
    <x18tc:text xml:space="preserve">DONE</x18tc:text>
  </x18tc:threadedComment>
  <x18tc:threadedComment ref="C5" dT="2025-12-02T21:24:36.00" personId="{534d38e1-3563-405d-bfee-6e3c6b4fae06}" id="{b45f6441-ad45-4eb2-b310-3ba26132e79e}" parentId="{ede67945-bd9d-47c3-9dd7-7ac6041f5dd8}">
    <x18tc:text xml:space="preserve">fixed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6" dT="2025-11-24T17:09:38.00" personId="{b5213afe-9c5a-418b-b2bb-61e3dc1a6f58}" id="{18858c39-e936-4cef-b52a-aa6c874fa884}" done="1">
    <x18tc:text xml:space="preserve">you have to add feature names here (check Web table), user is logged-in is not a feature</x18tc:text>
  </x18tc:threadedComment>
  <x18tc:threadedComment ref="K26" dT="2025-11-25T14:03:01.00" personId="{1f85738b-9e99-454a-818f-d2032b06d2fc}" id="{4afe1c0d-0340-4232-9184-fae7e2a1e422}" parentId="{18858c39-e936-4cef-b52a-aa6c874fa884}">
    <x18tc:text xml:space="preserve">done</x18tc:text>
  </x18tc:threadedComment>
  <x18tc:threadedComment ref="C13" dT="2025-11-24T17:09:01.00" personId="{b5213afe-9c5a-418b-b2bb-61e3dc1a6f58}" id="{f2acb63f-7ca0-4253-8400-affa51c87928}" done="1">
    <x18tc:text xml:space="preserve">check numbers here, it is impossible that you have ~ 190 bugs</x18tc:text>
  </x18tc:threadedComment>
  <x18tc:threadedComment ref="C13" dT="2025-11-25T14:02:54.00" personId="{1f85738b-9e99-454a-818f-d2032b06d2fc}" id="{55f81d0a-28fa-4973-904c-458de686cd0b}" parentId="{f2acb63f-7ca0-4253-8400-affa51c87928}">
    <x18tc:text xml:space="preserve">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untd.tech/" TargetMode="External"/><Relationship Id="rId11" Type="http://schemas.openxmlformats.org/officeDocument/2006/relationships/drawing" Target="../drawings/drawing1.xml"/><Relationship Id="rId10" Type="http://schemas.openxmlformats.org/officeDocument/2006/relationships/hyperlink" Target="https://olhayanus.testrail.io/index.php?/runs/view/22&amp;group_by=cases:section_id&amp;group_order=asc&amp;display=tree" TargetMode="External"/><Relationship Id="rId12" Type="http://schemas.openxmlformats.org/officeDocument/2006/relationships/vmlDrawing" Target="../drawings/vmlDrawing1.vml"/><Relationship Id="rId9" Type="http://schemas.openxmlformats.org/officeDocument/2006/relationships/hyperlink" Target="https://olhayanus.testrail.io/index.php?/runs/view/17&amp;group_by=cases:section_id&amp;group_order=asc&amp;display=tree" TargetMode="External"/><Relationship Id="rId5" Type="http://schemas.openxmlformats.org/officeDocument/2006/relationships/hyperlink" Target="https://docs.google.com/document/d/1V1h9LmWKNAt1A34xti5DEjTW15f1N7u3KGMRuwZC-2c/edit?usp=sharing" TargetMode="External"/><Relationship Id="rId6" Type="http://schemas.openxmlformats.org/officeDocument/2006/relationships/hyperlink" Target="https://docs.google.com/spreadsheets/d/1fey59CVkZW75LPKLdN6ezdroiGlmrRXJcgkJjDP0cWs/edit?usp=sharing" TargetMode="External"/><Relationship Id="rId7" Type="http://schemas.openxmlformats.org/officeDocument/2006/relationships/hyperlink" Target="https://docs.google.com/spreadsheets/d/17dKK-xNpIlpfTX0Z0JKq0swharmgpVvMfQonmS92Dao/edit?usp=sharing" TargetMode="External"/><Relationship Id="rId8" Type="http://schemas.openxmlformats.org/officeDocument/2006/relationships/hyperlink" Target="https://qaflex25oyanus.atlassian.net/jira/software/projects/HP/boards/16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1.38"/>
    <col customWidth="1" min="3" max="3" width="20.75"/>
    <col customWidth="1" min="4" max="4" width="21.88"/>
    <col customWidth="1" min="5" max="5" width="21.75"/>
    <col customWidth="1" min="8" max="8" width="54.38"/>
    <col customWidth="1" min="9" max="9" width="23.13"/>
  </cols>
  <sheetData>
    <row r="1">
      <c r="A1" s="1" t="s">
        <v>0</v>
      </c>
    </row>
    <row r="2">
      <c r="A2" s="2" t="s">
        <v>1</v>
      </c>
      <c r="B2" s="3" t="s">
        <v>2</v>
      </c>
      <c r="C2" s="4"/>
      <c r="D2" s="4"/>
      <c r="E2" s="5"/>
    </row>
    <row r="3">
      <c r="A3" s="6" t="s">
        <v>3</v>
      </c>
      <c r="B3" s="7" t="s">
        <v>4</v>
      </c>
      <c r="C3" s="4"/>
      <c r="D3" s="4"/>
      <c r="E3" s="5"/>
    </row>
    <row r="4">
      <c r="A4" s="8"/>
      <c r="B4" s="9" t="s">
        <v>5</v>
      </c>
      <c r="C4" s="10" t="s">
        <v>6</v>
      </c>
      <c r="D4" s="10" t="s">
        <v>7</v>
      </c>
      <c r="E4" s="10" t="s">
        <v>8</v>
      </c>
    </row>
    <row r="5">
      <c r="A5" s="11"/>
      <c r="B5" s="11"/>
      <c r="C5" s="10" t="s">
        <v>9</v>
      </c>
      <c r="D5" s="10" t="s">
        <v>10</v>
      </c>
      <c r="E5" s="10" t="s">
        <v>11</v>
      </c>
    </row>
    <row r="6" ht="54.75" customHeight="1">
      <c r="A6" s="2" t="s">
        <v>12</v>
      </c>
      <c r="B6" s="12" t="s">
        <v>13</v>
      </c>
      <c r="C6" s="4"/>
      <c r="D6" s="4"/>
      <c r="E6" s="5"/>
      <c r="H6" s="13"/>
    </row>
    <row r="7">
      <c r="A7" s="6" t="s">
        <v>14</v>
      </c>
      <c r="B7" s="14" t="s">
        <v>15</v>
      </c>
      <c r="C7" s="15" t="s">
        <v>16</v>
      </c>
      <c r="D7" s="4"/>
      <c r="E7" s="5"/>
      <c r="H7" s="13"/>
    </row>
    <row r="8">
      <c r="A8" s="8"/>
      <c r="B8" s="11"/>
      <c r="C8" s="16" t="s">
        <v>17</v>
      </c>
      <c r="D8" s="4"/>
      <c r="E8" s="5"/>
      <c r="H8" s="13"/>
    </row>
    <row r="9">
      <c r="A9" s="8"/>
      <c r="B9" s="17" t="s">
        <v>18</v>
      </c>
      <c r="C9" s="7" t="s">
        <v>19</v>
      </c>
      <c r="D9" s="4"/>
      <c r="E9" s="5"/>
      <c r="H9" s="13"/>
    </row>
    <row r="10">
      <c r="A10" s="11"/>
      <c r="B10" s="17" t="s">
        <v>20</v>
      </c>
      <c r="C10" s="7" t="s">
        <v>21</v>
      </c>
      <c r="D10" s="4"/>
      <c r="E10" s="5"/>
      <c r="H10" s="13"/>
    </row>
    <row r="11">
      <c r="A11" s="2" t="s">
        <v>22</v>
      </c>
      <c r="B11" s="17" t="s">
        <v>23</v>
      </c>
      <c r="C11" s="18">
        <v>45933.0</v>
      </c>
      <c r="D11" s="17" t="s">
        <v>24</v>
      </c>
      <c r="E11" s="18">
        <v>45985.0</v>
      </c>
      <c r="H11" s="13"/>
    </row>
    <row r="12">
      <c r="A12" s="6" t="s">
        <v>25</v>
      </c>
      <c r="B12" s="19" t="s">
        <v>26</v>
      </c>
      <c r="C12" s="20"/>
      <c r="D12" s="20"/>
      <c r="E12" s="21"/>
      <c r="H12" s="13"/>
    </row>
    <row r="13">
      <c r="A13" s="8"/>
      <c r="B13" s="22" t="s">
        <v>27</v>
      </c>
      <c r="E13" s="23"/>
      <c r="H13" s="13"/>
    </row>
    <row r="14">
      <c r="A14" s="8"/>
      <c r="B14" s="22" t="s">
        <v>28</v>
      </c>
      <c r="E14" s="23"/>
      <c r="H14" s="24"/>
    </row>
    <row r="15">
      <c r="A15" s="11"/>
      <c r="B15" s="25" t="s">
        <v>29</v>
      </c>
      <c r="C15" s="26"/>
      <c r="D15" s="26"/>
      <c r="E15" s="27"/>
      <c r="H15" s="13"/>
    </row>
    <row r="16">
      <c r="H16" s="28"/>
    </row>
    <row r="17">
      <c r="E17" s="29"/>
    </row>
    <row r="19">
      <c r="B19" s="30"/>
    </row>
    <row r="20">
      <c r="B20" s="31"/>
    </row>
    <row r="21">
      <c r="B21" s="30"/>
    </row>
    <row r="22">
      <c r="B22" s="31"/>
    </row>
    <row r="23">
      <c r="B23" s="30"/>
    </row>
    <row r="24">
      <c r="B24" s="31"/>
    </row>
    <row r="25">
      <c r="B25" s="30"/>
    </row>
    <row r="26">
      <c r="B26" s="31"/>
    </row>
    <row r="27">
      <c r="B27" s="30"/>
    </row>
  </sheetData>
  <mergeCells count="17">
    <mergeCell ref="B6:E6"/>
    <mergeCell ref="C7:E7"/>
    <mergeCell ref="C8:E8"/>
    <mergeCell ref="C9:E9"/>
    <mergeCell ref="A7:A10"/>
    <mergeCell ref="A12:A15"/>
    <mergeCell ref="B12:E12"/>
    <mergeCell ref="B13:E13"/>
    <mergeCell ref="B14:E14"/>
    <mergeCell ref="B15:E15"/>
    <mergeCell ref="A1:E1"/>
    <mergeCell ref="B2:E2"/>
    <mergeCell ref="A3:A5"/>
    <mergeCell ref="B3:E3"/>
    <mergeCell ref="B4:B5"/>
    <mergeCell ref="B7:B8"/>
    <mergeCell ref="C10:E10"/>
  </mergeCells>
  <hyperlinks>
    <hyperlink r:id="rId4" ref="B2"/>
    <hyperlink r:id="rId5" ref="C4"/>
    <hyperlink r:id="rId6" ref="D4"/>
    <hyperlink r:id="rId7" ref="E4"/>
    <hyperlink r:id="rId8" ref="C5"/>
    <hyperlink r:id="rId9" ref="D5"/>
    <hyperlink r:id="rId10" ref="E5"/>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1.75"/>
    <col customWidth="1" min="3" max="3" width="7.63"/>
    <col customWidth="1" min="4" max="4" width="8.75"/>
    <col customWidth="1" min="5" max="5" width="9.38"/>
    <col customWidth="1" min="6" max="6" width="8.0"/>
    <col customWidth="1" min="7" max="7" width="7.5"/>
    <col customWidth="1" min="8" max="8" width="9.25"/>
    <col customWidth="1" min="9" max="9" width="8.25"/>
    <col customWidth="1" min="10" max="10" width="5.0"/>
    <col customWidth="1" min="11" max="11" width="30.25"/>
    <col customWidth="1" min="12" max="12" width="7.38"/>
    <col customWidth="1" min="13" max="13" width="8.38"/>
    <col customWidth="1" min="14" max="14" width="8.13"/>
    <col customWidth="1" min="15" max="15" width="7.63"/>
    <col customWidth="1" min="16" max="16" width="8.38"/>
    <col customWidth="1" min="17" max="17" width="8.88"/>
    <col customWidth="1" min="18" max="18" width="9.88"/>
    <col customWidth="1" min="19" max="19" width="34.5"/>
    <col customWidth="1" min="20" max="20" width="7.38"/>
    <col customWidth="1" min="21" max="21" width="7.75"/>
    <col customWidth="1" min="22" max="22" width="10.0"/>
  </cols>
  <sheetData>
    <row r="1">
      <c r="A1" s="32" t="s">
        <v>30</v>
      </c>
      <c r="B1" s="4"/>
      <c r="C1" s="4"/>
      <c r="D1" s="5"/>
      <c r="J1" s="33" t="s">
        <v>31</v>
      </c>
      <c r="K1" s="4"/>
      <c r="L1" s="4"/>
      <c r="M1" s="5"/>
    </row>
    <row r="2">
      <c r="A2" s="34" t="s">
        <v>32</v>
      </c>
      <c r="B2" s="5"/>
      <c r="C2" s="35">
        <v>216.0</v>
      </c>
      <c r="D2" s="36">
        <v>1.0</v>
      </c>
      <c r="J2" s="37" t="s">
        <v>32</v>
      </c>
      <c r="K2" s="5"/>
      <c r="L2" s="35">
        <f>L35</f>
        <v>122</v>
      </c>
      <c r="M2" s="36">
        <v>1.0</v>
      </c>
    </row>
    <row r="3">
      <c r="A3" s="38" t="s">
        <v>33</v>
      </c>
      <c r="B3" s="5"/>
      <c r="C3" s="39">
        <f>D35</f>
        <v>153</v>
      </c>
      <c r="D3" s="40">
        <f>C3/C2</f>
        <v>0.7083333333</v>
      </c>
      <c r="J3" s="41" t="s">
        <v>33</v>
      </c>
      <c r="K3" s="5"/>
      <c r="L3" s="39">
        <f>M35</f>
        <v>104</v>
      </c>
      <c r="M3" s="40">
        <f>L3/L2</f>
        <v>0.8524590164</v>
      </c>
    </row>
    <row r="4">
      <c r="A4" s="42" t="s">
        <v>34</v>
      </c>
      <c r="B4" s="5"/>
      <c r="C4" s="43">
        <f>F35</f>
        <v>45</v>
      </c>
      <c r="D4" s="44">
        <f>C4/C2</f>
        <v>0.2083333333</v>
      </c>
      <c r="J4" s="45" t="s">
        <v>34</v>
      </c>
      <c r="K4" s="5"/>
      <c r="L4" s="43">
        <f>O35</f>
        <v>11</v>
      </c>
      <c r="M4" s="44">
        <f>L4/L2</f>
        <v>0.09016393443</v>
      </c>
    </row>
    <row r="5">
      <c r="A5" s="46" t="s">
        <v>35</v>
      </c>
      <c r="B5" s="5"/>
      <c r="C5" s="47">
        <f>H35</f>
        <v>18</v>
      </c>
      <c r="D5" s="48">
        <f>C5/C2</f>
        <v>0.08333333333</v>
      </c>
      <c r="J5" s="46" t="s">
        <v>35</v>
      </c>
      <c r="K5" s="5"/>
      <c r="L5" s="47">
        <f>Q35</f>
        <v>7</v>
      </c>
      <c r="M5" s="48">
        <f>L5/L2</f>
        <v>0.05737704918</v>
      </c>
    </row>
    <row r="6">
      <c r="J6" s="49"/>
    </row>
    <row r="7">
      <c r="J7" s="49"/>
    </row>
    <row r="8">
      <c r="J8" s="49"/>
    </row>
    <row r="9">
      <c r="J9" s="49"/>
    </row>
    <row r="10">
      <c r="J10" s="49"/>
    </row>
    <row r="11">
      <c r="J11" s="49"/>
    </row>
    <row r="12">
      <c r="A12" s="32" t="s">
        <v>36</v>
      </c>
      <c r="B12" s="4"/>
      <c r="C12" s="4"/>
      <c r="D12" s="50"/>
      <c r="J12" s="49"/>
    </row>
    <row r="13">
      <c r="A13" s="34" t="s">
        <v>37</v>
      </c>
      <c r="B13" s="5"/>
      <c r="C13" s="35">
        <v>11.0</v>
      </c>
      <c r="D13" s="36">
        <f t="shared" ref="D13:D16" si="1">C13*100%/sum($C$13:$C$16)</f>
        <v>0.2444444444</v>
      </c>
      <c r="J13" s="49"/>
    </row>
    <row r="14">
      <c r="A14" s="38" t="s">
        <v>38</v>
      </c>
      <c r="B14" s="5"/>
      <c r="C14" s="51">
        <v>17.0</v>
      </c>
      <c r="D14" s="36">
        <f t="shared" si="1"/>
        <v>0.3777777778</v>
      </c>
      <c r="J14" s="49"/>
    </row>
    <row r="15">
      <c r="A15" s="42" t="s">
        <v>39</v>
      </c>
      <c r="B15" s="5"/>
      <c r="C15" s="51">
        <v>12.0</v>
      </c>
      <c r="D15" s="36">
        <f t="shared" si="1"/>
        <v>0.2666666667</v>
      </c>
      <c r="J15" s="49"/>
    </row>
    <row r="16">
      <c r="A16" s="34" t="s">
        <v>40</v>
      </c>
      <c r="B16" s="5"/>
      <c r="C16" s="52">
        <v>5.0</v>
      </c>
      <c r="D16" s="36">
        <f t="shared" si="1"/>
        <v>0.1111111111</v>
      </c>
      <c r="J16" s="49"/>
    </row>
    <row r="17">
      <c r="J17" s="49"/>
    </row>
    <row r="18">
      <c r="J18" s="49"/>
    </row>
    <row r="19">
      <c r="J19" s="49"/>
    </row>
    <row r="20">
      <c r="J20" s="49"/>
    </row>
    <row r="21">
      <c r="J21" s="49"/>
    </row>
    <row r="22">
      <c r="J22" s="49"/>
    </row>
    <row r="23">
      <c r="J23" s="49"/>
    </row>
    <row r="24">
      <c r="J24" s="49"/>
    </row>
    <row r="25">
      <c r="A25" s="53" t="s">
        <v>41</v>
      </c>
      <c r="J25" s="54" t="s">
        <v>42</v>
      </c>
    </row>
    <row r="26">
      <c r="A26" s="55" t="s">
        <v>43</v>
      </c>
      <c r="B26" s="56" t="s">
        <v>44</v>
      </c>
      <c r="C26" s="57" t="s">
        <v>45</v>
      </c>
      <c r="D26" s="58" t="s">
        <v>33</v>
      </c>
      <c r="E26" s="21"/>
      <c r="F26" s="58" t="s">
        <v>34</v>
      </c>
      <c r="G26" s="21"/>
      <c r="H26" s="59" t="s">
        <v>35</v>
      </c>
      <c r="I26" s="21"/>
      <c r="J26" s="60" t="s">
        <v>43</v>
      </c>
      <c r="K26" s="56" t="s">
        <v>44</v>
      </c>
      <c r="L26" s="57" t="s">
        <v>45</v>
      </c>
      <c r="M26" s="58" t="s">
        <v>33</v>
      </c>
      <c r="N26" s="21"/>
      <c r="O26" s="58" t="s">
        <v>34</v>
      </c>
      <c r="P26" s="21"/>
      <c r="Q26" s="59" t="s">
        <v>35</v>
      </c>
      <c r="R26" s="21"/>
    </row>
    <row r="27">
      <c r="A27" s="34">
        <v>1.0</v>
      </c>
      <c r="B27" s="61" t="s">
        <v>46</v>
      </c>
      <c r="C27" s="62">
        <v>24.0</v>
      </c>
      <c r="D27" s="63">
        <v>20.0</v>
      </c>
      <c r="E27" s="64">
        <f t="shared" ref="E27:E35" si="2">D27*100%/C27</f>
        <v>0.8333333333</v>
      </c>
      <c r="F27" s="35">
        <v>4.0</v>
      </c>
      <c r="G27" s="65">
        <f t="shared" ref="G27:G35" si="3">F27*100%/C27</f>
        <v>0.1666666667</v>
      </c>
      <c r="H27" s="35">
        <v>0.0</v>
      </c>
      <c r="I27" s="65">
        <f t="shared" ref="I27:I35" si="4">H27*100%/C27</f>
        <v>0</v>
      </c>
      <c r="J27" s="37">
        <v>1.0</v>
      </c>
      <c r="K27" s="61" t="s">
        <v>47</v>
      </c>
      <c r="L27" s="62">
        <v>21.0</v>
      </c>
      <c r="M27" s="63">
        <v>17.0</v>
      </c>
      <c r="N27" s="64">
        <f t="shared" ref="N27:N35" si="5">M27*100%/L27</f>
        <v>0.8095238095</v>
      </c>
      <c r="O27" s="35">
        <v>3.0</v>
      </c>
      <c r="P27" s="65">
        <f t="shared" ref="P27:P35" si="6">O27*100%/L27</f>
        <v>0.1428571429</v>
      </c>
      <c r="Q27" s="35">
        <v>1.0</v>
      </c>
      <c r="R27" s="65">
        <f t="shared" ref="R27:R35" si="7">Q27*100%/L27</f>
        <v>0.04761904762</v>
      </c>
    </row>
    <row r="28">
      <c r="A28" s="34">
        <v>2.0</v>
      </c>
      <c r="B28" s="66" t="s">
        <v>48</v>
      </c>
      <c r="C28" s="67">
        <v>30.0</v>
      </c>
      <c r="D28" s="68">
        <v>25.0</v>
      </c>
      <c r="E28" s="64">
        <f t="shared" si="2"/>
        <v>0.8333333333</v>
      </c>
      <c r="F28" s="69">
        <v>5.0</v>
      </c>
      <c r="G28" s="65">
        <f t="shared" si="3"/>
        <v>0.1666666667</v>
      </c>
      <c r="H28" s="69">
        <v>0.0</v>
      </c>
      <c r="I28" s="65">
        <f t="shared" si="4"/>
        <v>0</v>
      </c>
      <c r="J28" s="37">
        <v>2.0</v>
      </c>
      <c r="K28" s="66" t="s">
        <v>49</v>
      </c>
      <c r="L28" s="67">
        <v>22.0</v>
      </c>
      <c r="M28" s="68">
        <v>17.0</v>
      </c>
      <c r="N28" s="64">
        <f t="shared" si="5"/>
        <v>0.7727272727</v>
      </c>
      <c r="O28" s="69">
        <v>3.0</v>
      </c>
      <c r="P28" s="65">
        <f t="shared" si="6"/>
        <v>0.1363636364</v>
      </c>
      <c r="Q28" s="69">
        <v>2.0</v>
      </c>
      <c r="R28" s="65">
        <f t="shared" si="7"/>
        <v>0.09090909091</v>
      </c>
    </row>
    <row r="29">
      <c r="A29" s="34">
        <v>3.0</v>
      </c>
      <c r="B29" s="66" t="s">
        <v>50</v>
      </c>
      <c r="C29" s="67">
        <v>78.0</v>
      </c>
      <c r="D29" s="68">
        <v>47.0</v>
      </c>
      <c r="E29" s="64">
        <f t="shared" si="2"/>
        <v>0.6025641026</v>
      </c>
      <c r="F29" s="69">
        <v>17.0</v>
      </c>
      <c r="G29" s="65">
        <f t="shared" si="3"/>
        <v>0.2179487179</v>
      </c>
      <c r="H29" s="69">
        <v>14.0</v>
      </c>
      <c r="I29" s="65">
        <f t="shared" si="4"/>
        <v>0.1794871795</v>
      </c>
      <c r="J29" s="37">
        <v>3.0</v>
      </c>
      <c r="K29" s="66" t="s">
        <v>51</v>
      </c>
      <c r="L29" s="67">
        <v>75.0</v>
      </c>
      <c r="M29" s="68">
        <v>66.0</v>
      </c>
      <c r="N29" s="64">
        <f t="shared" si="5"/>
        <v>0.88</v>
      </c>
      <c r="O29" s="69">
        <v>5.0</v>
      </c>
      <c r="P29" s="65">
        <f t="shared" si="6"/>
        <v>0.06666666667</v>
      </c>
      <c r="Q29" s="69">
        <v>4.0</v>
      </c>
      <c r="R29" s="65">
        <f t="shared" si="7"/>
        <v>0.05333333333</v>
      </c>
    </row>
    <row r="30">
      <c r="A30" s="34">
        <v>4.0</v>
      </c>
      <c r="B30" s="66" t="s">
        <v>52</v>
      </c>
      <c r="C30" s="67">
        <v>21.0</v>
      </c>
      <c r="D30" s="68">
        <v>16.0</v>
      </c>
      <c r="E30" s="64">
        <f t="shared" si="2"/>
        <v>0.7619047619</v>
      </c>
      <c r="F30" s="69">
        <v>5.0</v>
      </c>
      <c r="G30" s="65">
        <f t="shared" si="3"/>
        <v>0.2380952381</v>
      </c>
      <c r="H30" s="69">
        <v>0.0</v>
      </c>
      <c r="I30" s="65">
        <f t="shared" si="4"/>
        <v>0</v>
      </c>
      <c r="J30" s="37">
        <v>4.0</v>
      </c>
      <c r="K30" s="66" t="s">
        <v>53</v>
      </c>
      <c r="L30" s="67">
        <v>4.0</v>
      </c>
      <c r="M30" s="68">
        <v>4.0</v>
      </c>
      <c r="N30" s="64">
        <f t="shared" si="5"/>
        <v>1</v>
      </c>
      <c r="O30" s="69">
        <v>0.0</v>
      </c>
      <c r="P30" s="65">
        <f t="shared" si="6"/>
        <v>0</v>
      </c>
      <c r="Q30" s="69">
        <v>0.0</v>
      </c>
      <c r="R30" s="65">
        <f t="shared" si="7"/>
        <v>0</v>
      </c>
    </row>
    <row r="31">
      <c r="A31" s="34">
        <v>5.0</v>
      </c>
      <c r="B31" s="66" t="s">
        <v>53</v>
      </c>
      <c r="C31" s="67">
        <v>14.0</v>
      </c>
      <c r="D31" s="68">
        <v>11.0</v>
      </c>
      <c r="E31" s="64">
        <f t="shared" si="2"/>
        <v>0.7857142857</v>
      </c>
      <c r="F31" s="69">
        <v>3.0</v>
      </c>
      <c r="G31" s="65">
        <f t="shared" si="3"/>
        <v>0.2142857143</v>
      </c>
      <c r="H31" s="69">
        <v>0.0</v>
      </c>
      <c r="I31" s="65">
        <f t="shared" si="4"/>
        <v>0</v>
      </c>
      <c r="J31" s="37">
        <v>5.0</v>
      </c>
      <c r="K31" s="66"/>
      <c r="L31" s="67"/>
      <c r="M31" s="68"/>
      <c r="N31" s="64" t="str">
        <f t="shared" si="5"/>
        <v>#DIV/0!</v>
      </c>
      <c r="O31" s="69"/>
      <c r="P31" s="65" t="str">
        <f t="shared" si="6"/>
        <v>#DIV/0!</v>
      </c>
      <c r="Q31" s="69"/>
      <c r="R31" s="65" t="str">
        <f t="shared" si="7"/>
        <v>#DIV/0!</v>
      </c>
    </row>
    <row r="32">
      <c r="A32" s="34">
        <v>6.0</v>
      </c>
      <c r="B32" s="66" t="s">
        <v>54</v>
      </c>
      <c r="C32" s="67">
        <v>11.0</v>
      </c>
      <c r="D32" s="68">
        <v>7.0</v>
      </c>
      <c r="E32" s="64">
        <f t="shared" si="2"/>
        <v>0.6363636364</v>
      </c>
      <c r="F32" s="69">
        <v>1.0</v>
      </c>
      <c r="G32" s="65">
        <f t="shared" si="3"/>
        <v>0.09090909091</v>
      </c>
      <c r="H32" s="69">
        <v>3.0</v>
      </c>
      <c r="I32" s="65">
        <f t="shared" si="4"/>
        <v>0.2727272727</v>
      </c>
      <c r="J32" s="37">
        <v>6.0</v>
      </c>
      <c r="K32" s="66"/>
      <c r="L32" s="67"/>
      <c r="M32" s="68"/>
      <c r="N32" s="64" t="str">
        <f t="shared" si="5"/>
        <v>#DIV/0!</v>
      </c>
      <c r="O32" s="69"/>
      <c r="P32" s="65" t="str">
        <f t="shared" si="6"/>
        <v>#DIV/0!</v>
      </c>
      <c r="Q32" s="69"/>
      <c r="R32" s="65" t="str">
        <f t="shared" si="7"/>
        <v>#DIV/0!</v>
      </c>
    </row>
    <row r="33">
      <c r="A33" s="34">
        <v>7.0</v>
      </c>
      <c r="B33" s="66" t="s">
        <v>55</v>
      </c>
      <c r="C33" s="67">
        <v>15.0</v>
      </c>
      <c r="D33" s="68">
        <v>10.0</v>
      </c>
      <c r="E33" s="64">
        <f t="shared" si="2"/>
        <v>0.6666666667</v>
      </c>
      <c r="F33" s="69">
        <v>5.0</v>
      </c>
      <c r="G33" s="65">
        <f t="shared" si="3"/>
        <v>0.3333333333</v>
      </c>
      <c r="H33" s="69">
        <v>0.0</v>
      </c>
      <c r="I33" s="65">
        <f t="shared" si="4"/>
        <v>0</v>
      </c>
      <c r="J33" s="37">
        <v>7.0</v>
      </c>
      <c r="K33" s="70"/>
      <c r="L33" s="67"/>
      <c r="M33" s="71"/>
      <c r="N33" s="64" t="str">
        <f t="shared" si="5"/>
        <v>#DIV/0!</v>
      </c>
      <c r="O33" s="69"/>
      <c r="P33" s="65" t="str">
        <f t="shared" si="6"/>
        <v>#DIV/0!</v>
      </c>
      <c r="Q33" s="69"/>
      <c r="R33" s="65" t="str">
        <f t="shared" si="7"/>
        <v>#DIV/0!</v>
      </c>
    </row>
    <row r="34">
      <c r="A34" s="34">
        <v>8.0</v>
      </c>
      <c r="B34" s="72" t="s">
        <v>56</v>
      </c>
      <c r="C34" s="73">
        <v>23.0</v>
      </c>
      <c r="D34" s="74">
        <v>17.0</v>
      </c>
      <c r="E34" s="64">
        <f t="shared" si="2"/>
        <v>0.7391304348</v>
      </c>
      <c r="F34" s="52">
        <v>5.0</v>
      </c>
      <c r="G34" s="65">
        <f t="shared" si="3"/>
        <v>0.2173913043</v>
      </c>
      <c r="H34" s="52">
        <v>1.0</v>
      </c>
      <c r="I34" s="65">
        <f t="shared" si="4"/>
        <v>0.04347826087</v>
      </c>
      <c r="J34" s="37">
        <v>8.0</v>
      </c>
      <c r="K34" s="75"/>
      <c r="L34" s="73"/>
      <c r="M34" s="74"/>
      <c r="N34" s="64" t="str">
        <f t="shared" si="5"/>
        <v>#DIV/0!</v>
      </c>
      <c r="O34" s="76"/>
      <c r="P34" s="65" t="str">
        <f t="shared" si="6"/>
        <v>#DIV/0!</v>
      </c>
      <c r="Q34" s="52"/>
      <c r="R34" s="65" t="str">
        <f t="shared" si="7"/>
        <v>#DIV/0!</v>
      </c>
    </row>
    <row r="35">
      <c r="A35" s="67"/>
      <c r="B35" s="77" t="s">
        <v>57</v>
      </c>
      <c r="C35" s="77">
        <f t="shared" ref="C35:D35" si="8">sum(C27:C34)</f>
        <v>216</v>
      </c>
      <c r="D35" s="77">
        <f t="shared" si="8"/>
        <v>153</v>
      </c>
      <c r="E35" s="78">
        <f t="shared" si="2"/>
        <v>0.7083333333</v>
      </c>
      <c r="F35" s="79">
        <f>sum(F27:F34)</f>
        <v>45</v>
      </c>
      <c r="G35" s="80">
        <f t="shared" si="3"/>
        <v>0.2083333333</v>
      </c>
      <c r="H35" s="79">
        <f>sum(H27:H34)</f>
        <v>18</v>
      </c>
      <c r="I35" s="65">
        <f t="shared" si="4"/>
        <v>0.08333333333</v>
      </c>
      <c r="J35" s="81"/>
      <c r="K35" s="77" t="s">
        <v>57</v>
      </c>
      <c r="L35" s="77">
        <f t="shared" ref="L35:M35" si="9">sum(L27:L34)</f>
        <v>122</v>
      </c>
      <c r="M35" s="77">
        <f t="shared" si="9"/>
        <v>104</v>
      </c>
      <c r="N35" s="78">
        <f t="shared" si="5"/>
        <v>0.8524590164</v>
      </c>
      <c r="O35" s="79">
        <f>sum(O27:O34)</f>
        <v>11</v>
      </c>
      <c r="P35" s="80">
        <f t="shared" si="6"/>
        <v>0.09016393443</v>
      </c>
      <c r="Q35" s="79">
        <f>sum(Q27:Q34)</f>
        <v>7</v>
      </c>
      <c r="R35" s="65">
        <f t="shared" si="7"/>
        <v>0.05737704918</v>
      </c>
    </row>
  </sheetData>
  <mergeCells count="23">
    <mergeCell ref="A1:D1"/>
    <mergeCell ref="J1:M1"/>
    <mergeCell ref="A2:B2"/>
    <mergeCell ref="J2:K2"/>
    <mergeCell ref="A3:B3"/>
    <mergeCell ref="J3:K3"/>
    <mergeCell ref="J4:K4"/>
    <mergeCell ref="J5:K5"/>
    <mergeCell ref="A25:G25"/>
    <mergeCell ref="J25:P25"/>
    <mergeCell ref="D26:E26"/>
    <mergeCell ref="F26:G26"/>
    <mergeCell ref="H26:I26"/>
    <mergeCell ref="M26:N26"/>
    <mergeCell ref="O26:P26"/>
    <mergeCell ref="Q26:R26"/>
    <mergeCell ref="A4:B4"/>
    <mergeCell ref="A5:B5"/>
    <mergeCell ref="A12:C12"/>
    <mergeCell ref="A13:B13"/>
    <mergeCell ref="A14:B14"/>
    <mergeCell ref="A15:B15"/>
    <mergeCell ref="A16:B16"/>
  </mergeCells>
  <conditionalFormatting sqref="D2 D4:D5 M5 E27:E35 G27:G34 I27:I35 N27:N35 P27:P34 R27:R35">
    <cfRule type="cellIs" dxfId="0" priority="1" operator="equal">
      <formula>"0%"</formula>
    </cfRule>
  </conditionalFormatting>
  <conditionalFormatting sqref="D2 D4:D5 M5 E27:E35 G27:G34 I27:I35 N27:N35 P27:P34 R27:R35">
    <cfRule type="cellIs" dxfId="1" priority="2" operator="greaterThan">
      <formula>"80%"</formula>
    </cfRule>
  </conditionalFormatting>
  <conditionalFormatting sqref="D2 D4:D5 M5 E27:E35 G27:G34 I27:I35 N27:N35 P27:P34 R27:R35">
    <cfRule type="cellIs" dxfId="2" priority="3" operator="greaterThan">
      <formula>"70%"</formula>
    </cfRule>
  </conditionalFormatting>
  <conditionalFormatting sqref="D2 D4:D5 M5 G27:G35 I27:I35 P27:P35 R27:R35">
    <cfRule type="cellIs" dxfId="3" priority="4" operator="equal">
      <formula>"0%"</formula>
    </cfRule>
  </conditionalFormatting>
  <conditionalFormatting sqref="D2 D4:D5 M5 G27:G35 I27:I35 P27:P35 R27:R35">
    <cfRule type="cellIs" dxfId="4" priority="5" operator="between">
      <formula>"1%"</formula>
      <formula>"10%"</formula>
    </cfRule>
  </conditionalFormatting>
  <conditionalFormatting sqref="D2 D4:D5 M5 G27:G35 I27:I35 P27:P35 R27:R35">
    <cfRule type="cellIs" dxfId="5" priority="6" operator="between">
      <formula>"11%"</formula>
      <formula>"25%"</formula>
    </cfRule>
  </conditionalFormatting>
  <conditionalFormatting sqref="D2 D4:D5 M5 G27:G35 I27:I35 P27:P35 R27:R35">
    <cfRule type="cellIs" dxfId="6" priority="7" operator="greaterThanOrEqual">
      <formula>"25%"</formula>
    </cfRule>
  </conditionalFormatting>
  <conditionalFormatting sqref="A13:B13">
    <cfRule type="notContainsBlanks" dxfId="4" priority="8">
      <formula>LEN(TRIM(A13))&gt;0</formula>
    </cfRule>
  </conditionalFormatting>
  <conditionalFormatting sqref="A14:B14">
    <cfRule type="notContainsBlanks" dxfId="7" priority="9">
      <formula>LEN(TRIM(A14))&gt;0</formula>
    </cfRule>
  </conditionalFormatting>
  <conditionalFormatting sqref="A15:B15">
    <cfRule type="notContainsBlanks" dxfId="8" priority="10">
      <formula>LEN(TRIM(A15))&gt;0</formula>
    </cfRule>
  </conditionalFormatting>
  <conditionalFormatting sqref="A16:B16">
    <cfRule type="notContainsBlanks" dxfId="9" priority="11">
      <formula>LEN(TRIM(A16))&gt;0</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9.75"/>
    <col customWidth="1" min="3" max="3" width="16.75"/>
  </cols>
  <sheetData>
    <row r="1">
      <c r="A1" s="55" t="s">
        <v>58</v>
      </c>
      <c r="B1" s="55" t="s">
        <v>59</v>
      </c>
      <c r="C1" s="55" t="s">
        <v>60</v>
      </c>
    </row>
    <row r="2">
      <c r="A2" s="67" t="s">
        <v>61</v>
      </c>
      <c r="B2" s="67" t="s">
        <v>62</v>
      </c>
      <c r="C2" s="67" t="s">
        <v>63</v>
      </c>
    </row>
    <row r="3">
      <c r="A3" s="67" t="s">
        <v>64</v>
      </c>
      <c r="B3" s="67" t="s">
        <v>65</v>
      </c>
      <c r="C3" s="67" t="s">
        <v>66</v>
      </c>
    </row>
  </sheetData>
  <drawing r:id="rId1"/>
</worksheet>
</file>